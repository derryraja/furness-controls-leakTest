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color rgb="00FFFFFF"/>
      <sz val="14"/>
    </font>
    <font>
      <name val="Arial"/>
      <b val="1"/>
      <color rgb="001F4E79"/>
      <sz val="11"/>
    </font>
    <font>
      <name val="Arial"/>
      <b val="1"/>
      <sz val="11"/>
    </font>
    <font>
      <name val="Arial"/>
      <b val="1"/>
      <color rgb="00276221"/>
      <sz val="11"/>
    </font>
    <font>
      <name val="Arial"/>
      <b val="1"/>
      <color rgb="009C0006"/>
      <sz val="11"/>
    </font>
    <font>
      <name val="Arial"/>
      <i val="1"/>
      <color rgb="00666666"/>
      <sz val="9"/>
    </font>
    <font>
      <name val="Arial"/>
      <color rgb="00888888"/>
      <sz val="9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276221"/>
      <sz val="10"/>
    </font>
    <font>
      <name val="Arial"/>
      <b val="1"/>
      <color rgb="009C0006"/>
      <sz val="10"/>
    </font>
  </fonts>
  <fills count="9">
    <fill>
      <patternFill/>
    </fill>
    <fill>
      <patternFill patternType="gray125"/>
    </fill>
    <fill>
      <patternFill patternType="solid">
        <fgColor rgb="00D9E8F5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CAF50"/>
              </a:solidFill>
              <a:ln>
                <a:solidFill>
                  <a:srgbClr val="276221"/>
                </a:solidFill>
                <a:prstDash val="solid"/>
              </a:ln>
            </spPr>
          </dPt>
          <dPt>
            <idx val="1"/>
            <spPr>
              <a:solidFill>
                <a:srgbClr val="F44336"/>
              </a:solidFill>
              <a:ln>
                <a:solidFill>
                  <a:srgbClr val="9C0006"/>
                </a:solidFill>
                <a:prstDash val="solid"/>
              </a:ln>
            </spPr>
          </dPt>
          <cat>
            <numRef>
              <f>'Summary'!$E$2:$E$3</f>
            </numRef>
          </cat>
          <val>
            <numRef>
              <f>'Summary'!$F$2:$F$3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% vs Fail %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4CAF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44336"/>
              </a:solidFill>
              <a:ln>
                <a:prstDash val="solid"/>
              </a:ln>
            </spPr>
          </dPt>
          <dLbls>
            <showVal val="0"/>
            <showCatName val="1"/>
            <showPercent val="1"/>
          </dLbls>
          <cat>
            <numRef>
              <f>'Summary'!$E$2:$E$3</f>
            </numRef>
          </cat>
          <val>
            <numRef>
              <f>'Summary'!$F$2:$F$3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Leak Rate Stats (mbar/s)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196F3"/>
              </a:solidFill>
              <a:ln>
                <a:solidFill>
                  <a:srgbClr val="0D47A1"/>
                </a:solidFill>
                <a:prstDash val="solid"/>
              </a:ln>
            </spPr>
          </dPt>
          <dPt>
            <idx val="1"/>
            <spPr>
              <a:solidFill>
                <a:srgbClr val="FF9800"/>
              </a:solidFill>
              <a:ln>
                <a:solidFill>
                  <a:srgbClr val="E65100"/>
                </a:solidFill>
                <a:prstDash val="solid"/>
              </a:ln>
            </spPr>
          </dPt>
          <dPt>
            <idx val="2"/>
            <spPr>
              <a:solidFill>
                <a:srgbClr val="9C27B0"/>
              </a:solidFill>
              <a:ln>
                <a:solidFill>
                  <a:srgbClr val="4A148C"/>
                </a:solidFill>
                <a:prstDash val="solid"/>
              </a:ln>
            </spPr>
          </dPt>
          <cat>
            <numRef>
              <f>'Summary'!$E$5:$E$7</f>
            </numRef>
          </cat>
          <val>
            <numRef>
              <f>'Summary'!$F$5:$F$7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mbar/s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4" customWidth="1" min="4" max="4"/>
    <col width="18" customWidth="1" min="5" max="5"/>
    <col width="18" customWidth="1" min="6" max="6"/>
    <col width="4" customWidth="1" min="7" max="7"/>
  </cols>
  <sheetData>
    <row r="1" ht="34" customHeight="1">
      <c r="B1" s="1" t="inlineStr">
        <is>
          <t>Leak Test Summary</t>
        </is>
      </c>
    </row>
    <row r="2" ht="22" customHeight="1">
      <c r="B2" s="2" t="inlineStr">
        <is>
          <t>Total Tests</t>
        </is>
      </c>
      <c r="C2" s="3">
        <f>COUNTA(Results!B3:B100000)</f>
        <v/>
      </c>
      <c r="E2" s="4" t="inlineStr">
        <is>
          <t>Pass</t>
        </is>
      </c>
      <c r="F2" s="4">
        <f>C3</f>
        <v/>
      </c>
    </row>
    <row r="3" ht="22" customHeight="1">
      <c r="B3" s="2" t="inlineStr">
        <is>
          <t>Passes</t>
        </is>
      </c>
      <c r="C3" s="5">
        <f>COUNTIF(Results!K3:K100000,"PASS")</f>
        <v/>
      </c>
      <c r="E3" s="4" t="inlineStr">
        <is>
          <t>Fail</t>
        </is>
      </c>
      <c r="F3" s="4">
        <f>C4</f>
        <v/>
      </c>
    </row>
    <row r="4" ht="22" customHeight="1">
      <c r="B4" s="2" t="inlineStr">
        <is>
          <t>Failures</t>
        </is>
      </c>
      <c r="C4" s="6">
        <f>COUNTIF(Results!K3:K100000,"FAIL")</f>
        <v/>
      </c>
    </row>
    <row r="5" ht="22" customHeight="1">
      <c r="B5" s="2" t="inlineStr">
        <is>
          <t>Pass %</t>
        </is>
      </c>
      <c r="C5" s="7">
        <f>IFERROR(C3/C2,0)</f>
        <v/>
      </c>
      <c r="E5" s="4" t="inlineStr">
        <is>
          <t>Max</t>
        </is>
      </c>
      <c r="F5" s="4">
        <f>C7</f>
        <v/>
      </c>
    </row>
    <row r="6" ht="22" customHeight="1">
      <c r="B6" s="2" t="inlineStr">
        <is>
          <t>Fail %</t>
        </is>
      </c>
      <c r="C6" s="7">
        <f>IFERROR(C4/C2,0)</f>
        <v/>
      </c>
      <c r="E6" s="4" t="inlineStr">
        <is>
          <t>Min</t>
        </is>
      </c>
      <c r="F6" s="4">
        <f>C8</f>
        <v/>
      </c>
    </row>
    <row r="7" ht="22" customHeight="1">
      <c r="B7" s="2" t="inlineStr">
        <is>
          <t>Max Leak Rate (mbar/s)</t>
        </is>
      </c>
      <c r="C7" s="8">
        <f>IFERROR(MAX(Results!I3:I100000),0)</f>
        <v/>
      </c>
      <c r="E7" s="4" t="inlineStr">
        <is>
          <t>Avg</t>
        </is>
      </c>
      <c r="F7" s="4">
        <f>C9</f>
        <v/>
      </c>
    </row>
    <row r="8" ht="22" customHeight="1">
      <c r="B8" s="2" t="inlineStr">
        <is>
          <t>Min Leak Rate (mbar/s)</t>
        </is>
      </c>
      <c r="C8" s="8">
        <f>IFERROR(MIN(Results!I3:I100000),0)</f>
        <v/>
      </c>
    </row>
    <row r="9" ht="22" customHeight="1">
      <c r="B9" s="2" t="inlineStr">
        <is>
          <t>Avg Leak Rate (mbar/s)</t>
        </is>
      </c>
      <c r="C9" s="8">
        <f>IFERROR(AVERAGE(Results!I3:I100000),0)</f>
        <v/>
      </c>
    </row>
    <row r="10" ht="22" customHeight="1">
      <c r="B10" s="9" t="inlineStr">
        <is>
          <t>Current pass/fail threshold: 0.1 mbar/s</t>
        </is>
      </c>
    </row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22" customWidth="1" min="4" max="4"/>
    <col width="14" customWidth="1" min="5" max="5"/>
    <col width="14" customWidth="1" min="6" max="6"/>
    <col width="12" customWidth="1" min="7" max="7"/>
    <col width="12" customWidth="1" min="8" max="8"/>
    <col width="16" customWidth="1" min="9" max="9"/>
    <col width="16" customWidth="1" min="10" max="10"/>
    <col width="10" customWidth="1" min="11" max="11"/>
  </cols>
  <sheetData>
    <row r="1" ht="28" customHeight="1">
      <c r="A1" s="10" t="inlineStr">
        <is>
          <t>Leak Test Log</t>
        </is>
      </c>
    </row>
    <row r="2" ht="36" customHeight="1">
      <c r="A2" s="11" t="inlineStr">
        <is>
          <t>#</t>
        </is>
      </c>
      <c r="B2" s="11" t="inlineStr">
        <is>
          <t>Test Reference</t>
        </is>
      </c>
      <c r="C2" s="11" t="inlineStr">
        <is>
          <t>Device Number</t>
        </is>
      </c>
      <c r="D2" s="11" t="inlineStr">
        <is>
          <t>Date / Time</t>
        </is>
      </c>
      <c r="E2" s="11" t="inlineStr">
        <is>
          <t>Operator</t>
        </is>
      </c>
      <c r="F2" s="11" t="inlineStr">
        <is>
          <t>Start (mbar)</t>
        </is>
      </c>
      <c r="G2" s="11" t="inlineStr">
        <is>
          <t>End (mbar)</t>
        </is>
      </c>
      <c r="H2" s="11" t="inlineStr">
        <is>
          <t>Drop (mbar)</t>
        </is>
      </c>
      <c r="I2" s="11" t="inlineStr">
        <is>
          <t>Leak Rate
(mbar/s)</t>
        </is>
      </c>
      <c r="J2" s="11" t="inlineStr">
        <is>
          <t>Threshold
(mbar/s)</t>
        </is>
      </c>
      <c r="K2" s="11" t="inlineStr">
        <is>
          <t>Result</t>
        </is>
      </c>
    </row>
    <row r="3">
      <c r="A3" s="12" t="n">
        <v>1</v>
      </c>
      <c r="B3" s="13" t="inlineStr">
        <is>
          <t>#000432</t>
        </is>
      </c>
      <c r="C3" s="13" t="inlineStr">
        <is>
          <t>DEMO-0001</t>
        </is>
      </c>
      <c r="D3" s="13" t="inlineStr">
        <is>
          <t>2026-01-15  09:00:00</t>
        </is>
      </c>
      <c r="E3" s="13" t="inlineStr">
        <is>
          <t>Demo</t>
        </is>
      </c>
      <c r="F3" s="13" t="n">
        <v>49.952</v>
      </c>
      <c r="G3" s="13" t="n">
        <v>47.568</v>
      </c>
      <c r="H3" s="13" t="n">
        <v>2.384</v>
      </c>
      <c r="I3" s="13" t="n">
        <v>0.081068</v>
      </c>
      <c r="J3" s="13" t="n">
        <v>0.1</v>
      </c>
      <c r="K3" s="14" t="inlineStr">
        <is>
          <t>PASS</t>
        </is>
      </c>
    </row>
    <row r="4">
      <c r="A4" s="12" t="n">
        <v>2</v>
      </c>
      <c r="B4" s="15" t="inlineStr">
        <is>
          <t>#000433</t>
        </is>
      </c>
      <c r="C4" s="15" t="inlineStr">
        <is>
          <t>DEMO-0002</t>
        </is>
      </c>
      <c r="D4" s="15" t="inlineStr">
        <is>
          <t>2026-01-15  09:03:00</t>
        </is>
      </c>
      <c r="E4" s="15" t="inlineStr">
        <is>
          <t>Demo</t>
        </is>
      </c>
      <c r="F4" s="15" t="n">
        <v>49.937</v>
      </c>
      <c r="G4" s="15" t="n">
        <v>45.397</v>
      </c>
      <c r="H4" s="15" t="n">
        <v>4.54</v>
      </c>
      <c r="I4" s="15" t="n">
        <v>0.153441</v>
      </c>
      <c r="J4" s="15" t="n">
        <v>0.1</v>
      </c>
      <c r="K4" s="16" t="inlineStr">
        <is>
          <t>FAIL</t>
        </is>
      </c>
    </row>
    <row r="5">
      <c r="A5" s="12" t="n">
        <v>3</v>
      </c>
      <c r="B5" s="13" t="inlineStr">
        <is>
          <t>#000434</t>
        </is>
      </c>
      <c r="C5" s="13" t="inlineStr">
        <is>
          <t>DEMO-0003</t>
        </is>
      </c>
      <c r="D5" s="13" t="inlineStr">
        <is>
          <t>2026-01-15  09:06:00</t>
        </is>
      </c>
      <c r="E5" s="13" t="inlineStr">
        <is>
          <t>Demo</t>
        </is>
      </c>
      <c r="F5" s="13" t="n">
        <v>49.946</v>
      </c>
      <c r="G5" s="13" t="n">
        <v>46.448</v>
      </c>
      <c r="H5" s="13" t="n">
        <v>3.498</v>
      </c>
      <c r="I5" s="13" t="n">
        <v>0.11841</v>
      </c>
      <c r="J5" s="13" t="n">
        <v>0.1</v>
      </c>
      <c r="K5" s="16" t="inlineStr">
        <is>
          <t>FAIL</t>
        </is>
      </c>
    </row>
    <row r="6">
      <c r="A6" s="12" t="n">
        <v>4</v>
      </c>
      <c r="B6" s="15" t="inlineStr">
        <is>
          <t>#000435</t>
        </is>
      </c>
      <c r="C6" s="15" t="inlineStr">
        <is>
          <t>DEMO-0004</t>
        </is>
      </c>
      <c r="D6" s="15" t="inlineStr">
        <is>
          <t>2026-01-15  09:09:00</t>
        </is>
      </c>
      <c r="E6" s="15" t="inlineStr">
        <is>
          <t>Demo</t>
        </is>
      </c>
      <c r="F6" s="15" t="n">
        <v>49.964</v>
      </c>
      <c r="G6" s="15" t="n">
        <v>46.266</v>
      </c>
      <c r="H6" s="15" t="n">
        <v>3.698</v>
      </c>
      <c r="I6" s="15" t="n">
        <v>0.124452</v>
      </c>
      <c r="J6" s="15" t="n">
        <v>0.1</v>
      </c>
      <c r="K6" s="16" t="inlineStr">
        <is>
          <t>FAIL</t>
        </is>
      </c>
    </row>
    <row r="7">
      <c r="A7" s="12" t="n">
        <v>5</v>
      </c>
      <c r="B7" s="13" t="inlineStr">
        <is>
          <t>#000436</t>
        </is>
      </c>
      <c r="C7" s="13" t="inlineStr">
        <is>
          <t>DEMO-0005</t>
        </is>
      </c>
      <c r="D7" s="13" t="inlineStr">
        <is>
          <t>2026-01-15  09:12:00</t>
        </is>
      </c>
      <c r="E7" s="13" t="inlineStr">
        <is>
          <t>Demo</t>
        </is>
      </c>
      <c r="F7" s="13" t="n">
        <v>49.962</v>
      </c>
      <c r="G7" s="13" t="n">
        <v>46.958</v>
      </c>
      <c r="H7" s="13" t="n">
        <v>3.004</v>
      </c>
      <c r="I7" s="13" t="n">
        <v>0.101395</v>
      </c>
      <c r="J7" s="13" t="n">
        <v>0.1</v>
      </c>
      <c r="K7" s="16" t="inlineStr">
        <is>
          <t>FAIL</t>
        </is>
      </c>
    </row>
    <row r="8">
      <c r="A8" s="12" t="n">
        <v>6</v>
      </c>
      <c r="B8" s="15" t="inlineStr">
        <is>
          <t>#000437</t>
        </is>
      </c>
      <c r="C8" s="15" t="inlineStr">
        <is>
          <t>DEMO-0006</t>
        </is>
      </c>
      <c r="D8" s="15" t="inlineStr">
        <is>
          <t>2026-01-15  09:15:00</t>
        </is>
      </c>
      <c r="E8" s="15" t="inlineStr">
        <is>
          <t>Demo</t>
        </is>
      </c>
      <c r="F8" s="15" t="n">
        <v>49.924</v>
      </c>
      <c r="G8" s="15" t="n">
        <v>44.331</v>
      </c>
      <c r="H8" s="15" t="n">
        <v>5.593</v>
      </c>
      <c r="I8" s="15" t="n">
        <v>0.188975</v>
      </c>
      <c r="J8" s="15" t="n">
        <v>0.1</v>
      </c>
      <c r="K8" s="16" t="inlineStr">
        <is>
          <t>FAIL</t>
        </is>
      </c>
    </row>
    <row r="9">
      <c r="A9" s="12" t="n">
        <v>7</v>
      </c>
      <c r="B9" s="13" t="inlineStr">
        <is>
          <t>#000438</t>
        </is>
      </c>
      <c r="C9" s="13" t="inlineStr">
        <is>
          <t>DEMO-0007</t>
        </is>
      </c>
      <c r="D9" s="13" t="inlineStr">
        <is>
          <t>2026-01-15  09:18:00</t>
        </is>
      </c>
      <c r="E9" s="13" t="inlineStr">
        <is>
          <t>Demo</t>
        </is>
      </c>
      <c r="F9" s="13" t="n">
        <v>49.992</v>
      </c>
      <c r="G9" s="13" t="n">
        <v>46.531</v>
      </c>
      <c r="H9" s="13" t="n">
        <v>3.461</v>
      </c>
      <c r="I9" s="13" t="n">
        <v>0.115624</v>
      </c>
      <c r="J9" s="13" t="n">
        <v>0.1</v>
      </c>
      <c r="K9" s="16" t="inlineStr">
        <is>
          <t>FAIL</t>
        </is>
      </c>
    </row>
    <row r="10">
      <c r="A10" s="12" t="n">
        <v>8</v>
      </c>
      <c r="B10" s="15" t="inlineStr">
        <is>
          <t>#000439</t>
        </is>
      </c>
      <c r="C10" s="15" t="inlineStr">
        <is>
          <t>DEMO-0008</t>
        </is>
      </c>
      <c r="D10" s="15" t="inlineStr">
        <is>
          <t>2026-01-15  09:21:00</t>
        </is>
      </c>
      <c r="E10" s="15" t="inlineStr">
        <is>
          <t>Demo</t>
        </is>
      </c>
      <c r="F10" s="15" t="n">
        <v>49.933</v>
      </c>
      <c r="G10" s="15" t="n">
        <v>45.958</v>
      </c>
      <c r="H10" s="15" t="n">
        <v>3.975</v>
      </c>
      <c r="I10" s="15" t="n">
        <v>0.13472</v>
      </c>
      <c r="J10" s="15" t="n">
        <v>0.1</v>
      </c>
      <c r="K10" s="16" t="inlineStr">
        <is>
          <t>FAIL</t>
        </is>
      </c>
    </row>
    <row r="11">
      <c r="A11" s="12" t="n">
        <v>9</v>
      </c>
      <c r="B11" s="13" t="inlineStr">
        <is>
          <t>#000440</t>
        </is>
      </c>
      <c r="C11" s="13" t="inlineStr">
        <is>
          <t>DEMO-0009</t>
        </is>
      </c>
      <c r="D11" s="13" t="inlineStr">
        <is>
          <t>2026-01-15  09:24:00</t>
        </is>
      </c>
      <c r="E11" s="13" t="inlineStr">
        <is>
          <t>Demo</t>
        </is>
      </c>
      <c r="F11" s="13" t="n">
        <v>49.995</v>
      </c>
      <c r="G11" s="13" t="n">
        <v>49.543</v>
      </c>
      <c r="H11" s="13" t="n">
        <v>0.452</v>
      </c>
      <c r="I11" s="13" t="n">
        <v>0.015222</v>
      </c>
      <c r="J11" s="13" t="n">
        <v>0.1</v>
      </c>
      <c r="K11" s="14" t="inlineStr">
        <is>
          <t>PASS</t>
        </is>
      </c>
    </row>
    <row r="12">
      <c r="A12" s="12" t="n">
        <v>10</v>
      </c>
      <c r="B12" s="15" t="inlineStr">
        <is>
          <t>#000441</t>
        </is>
      </c>
      <c r="C12" s="15" t="inlineStr">
        <is>
          <t>DEMO-0010</t>
        </is>
      </c>
      <c r="D12" s="15" t="inlineStr">
        <is>
          <t>2026-01-15  09:27:00</t>
        </is>
      </c>
      <c r="E12" s="15" t="inlineStr">
        <is>
          <t>Demo</t>
        </is>
      </c>
      <c r="F12" s="15" t="n">
        <v>49.95</v>
      </c>
      <c r="G12" s="15" t="n">
        <v>46.85</v>
      </c>
      <c r="H12" s="15" t="n">
        <v>3.1</v>
      </c>
      <c r="I12" s="15" t="n">
        <v>0.105015</v>
      </c>
      <c r="J12" s="15" t="n">
        <v>0.1</v>
      </c>
      <c r="K12" s="16" t="inlineStr">
        <is>
          <t>FAIL</t>
        </is>
      </c>
    </row>
    <row r="13">
      <c r="A13" s="12" t="n">
        <v>11</v>
      </c>
      <c r="B13" s="13" t="inlineStr">
        <is>
          <t>#000442</t>
        </is>
      </c>
      <c r="C13" s="13" t="inlineStr">
        <is>
          <t>DEMO-0011</t>
        </is>
      </c>
      <c r="D13" s="13" t="inlineStr">
        <is>
          <t>2026-01-15  09:30:00</t>
        </is>
      </c>
      <c r="E13" s="13" t="inlineStr">
        <is>
          <t>Demo</t>
        </is>
      </c>
      <c r="F13" s="13" t="n">
        <v>49.989</v>
      </c>
      <c r="G13" s="13" t="n">
        <v>49.406</v>
      </c>
      <c r="H13" s="13" t="n">
        <v>0.583</v>
      </c>
      <c r="I13" s="13" t="n">
        <v>0.019785</v>
      </c>
      <c r="J13" s="13" t="n">
        <v>0.1</v>
      </c>
      <c r="K13" s="14" t="inlineStr">
        <is>
          <t>PASS</t>
        </is>
      </c>
    </row>
    <row r="14">
      <c r="A14" s="12" t="n">
        <v>12</v>
      </c>
      <c r="B14" s="15" t="inlineStr">
        <is>
          <t>#000443</t>
        </is>
      </c>
      <c r="C14" s="15" t="inlineStr">
        <is>
          <t>DEMO-0012</t>
        </is>
      </c>
      <c r="D14" s="15" t="inlineStr">
        <is>
          <t>2026-01-15  09:33:00</t>
        </is>
      </c>
      <c r="E14" s="15" t="inlineStr">
        <is>
          <t>Demo</t>
        </is>
      </c>
      <c r="F14" s="15" t="n">
        <v>49.987</v>
      </c>
      <c r="G14" s="15" t="n">
        <v>49.653</v>
      </c>
      <c r="H14" s="15" t="n">
        <v>0.334</v>
      </c>
      <c r="I14" s="15" t="n">
        <v>0.011567</v>
      </c>
      <c r="J14" s="15" t="n">
        <v>0.1</v>
      </c>
      <c r="K14" s="14" t="inlineStr">
        <is>
          <t>PASS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2026-10-27T09:44:21Z</dcterms:created>
  <dcterms:modified xsi:type="dcterms:W3CDTF">2026-10-27T09:44:23Z</dcterms:modified>
</cp:coreProperties>
</file>